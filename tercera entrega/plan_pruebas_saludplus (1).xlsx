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ortada" sheetId="1" state="visible" r:id="rId3"/>
    <sheet name="Identificación Casos" sheetId="2" state="visible" r:id="rId4"/>
    <sheet name="Control" sheetId="3" state="visible" r:id="rId5"/>
    <sheet name="Datos del plan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<sst xmlns="http://schemas.openxmlformats.org/spreadsheetml/2006/main" count="155" uniqueCount="88">
  <si>
    <t xml:space="preserve">Plan de Pruebas - SaludPlus Tech
Migración a Microservicios</t>
  </si>
  <si>
    <t xml:space="preserve">Integrantes:
Dylan Sandoval, Jefe de Proyecto / Tech Lead
Josué Vera, Desarrollador Backend
Pablo Díaz, Desarrollador Frontend
Sebastián Antipán, Analista BD / QA</t>
  </si>
  <si>
    <t xml:space="preserve">ID</t>
  </si>
  <si>
    <t xml:space="preserve">Nombre de la prueba</t>
  </si>
  <si>
    <t xml:space="preserve">Tipo</t>
  </si>
  <si>
    <t xml:space="preserve">Resultado esperado</t>
  </si>
  <si>
    <t xml:space="preserve">Resultado obtenido</t>
  </si>
  <si>
    <t xml:space="preserve">Modulo a probar</t>
  </si>
  <si>
    <t xml:space="preserve">Resultado</t>
  </si>
  <si>
    <t xml:space="preserve">Candidato a automatizar</t>
  </si>
  <si>
    <t xml:space="preserve">Observación</t>
  </si>
  <si>
    <t xml:space="preserve">Responsable ejecución</t>
  </si>
  <si>
    <t xml:space="preserve">Complejidad</t>
  </si>
  <si>
    <t xml:space="preserve">MTC_010</t>
  </si>
  <si>
    <t xml:space="preserve">Registro de paciente nuevo (POST /pacientes)</t>
  </si>
  <si>
    <t xml:space="preserve">Funcional</t>
  </si>
  <si>
    <t xml:space="preserve">Paciente creado correctamente. HTTP 201 Created. Registro visible en BD MySQL.</t>
  </si>
  <si>
    <t xml:space="preserve">MS-Pacientes</t>
  </si>
  <si>
    <t xml:space="preserve">No ejecutado</t>
  </si>
  <si>
    <t xml:space="preserve">SI</t>
  </si>
  <si>
    <t xml:space="preserve">Validar que el RUT sea único y que todos los campos NOT NULL estén presentes.</t>
  </si>
  <si>
    <t xml:space="preserve">Sebastián Antipán</t>
  </si>
  <si>
    <t xml:space="preserve">Baja</t>
  </si>
  <si>
    <t xml:space="preserve">MTC_020</t>
  </si>
  <si>
    <t xml:space="preserve">Registro de paciente con RUT duplicado</t>
  </si>
  <si>
    <t xml:space="preserve">HTTP 400 Bad Request / DataIntegrityViolationException. No se crea registro duplicado.</t>
  </si>
  <si>
    <t xml:space="preserve">Verificar restricción UNIQUE en columna RUT de tabla pacientes.</t>
  </si>
  <si>
    <t xml:space="preserve">Josué Vera</t>
  </si>
  <si>
    <t xml:space="preserve">Media</t>
  </si>
  <si>
    <t xml:space="preserve">MTC_030</t>
  </si>
  <si>
    <t xml:space="preserve">Consulta de listado de médicos (GET /medicos)</t>
  </si>
  <si>
    <t xml:space="preserve">HTTP 200 OK. Retorna lista JSON con id, nombre y especialidad de todos los médicos.</t>
  </si>
  <si>
    <t xml:space="preserve">MS-Médicos</t>
  </si>
  <si>
    <t xml:space="preserve">Verificar que la respuesta incluya el campo especialidad correctamente mapeado.</t>
  </si>
  <si>
    <t xml:space="preserve">MTC_040</t>
  </si>
  <si>
    <t xml:space="preserve">Reserva de cita médica (POST /citas)</t>
  </si>
  <si>
    <t xml:space="preserve">HTTP 201 Created. Cita almacenada con estado "Pendiente", FK paciente_id válida.</t>
  </si>
  <si>
    <t xml:space="preserve">MS-Citas</t>
  </si>
  <si>
    <t xml:space="preserve">Asociar un paciente_id y médico existentes. Validar integridad referencial FK.</t>
  </si>
  <si>
    <t xml:space="preserve">Alta</t>
  </si>
  <si>
    <t xml:space="preserve">MTC_050</t>
  </si>
  <si>
    <t xml:space="preserve">Reserva de cita con paciente inexistente</t>
  </si>
  <si>
    <t xml:space="preserve">HTTP 404 Not Found o HTTP 400. No se crea la cita. Mensaje de error estructurado.</t>
  </si>
  <si>
    <t xml:space="preserve">Verificar que @ControllerAdvice capture el error y retorne JSON con detalle.</t>
  </si>
  <si>
    <t xml:space="preserve">Dylan Sandoval</t>
  </si>
  <si>
    <t xml:space="preserve">MTC_060</t>
  </si>
  <si>
    <t xml:space="preserve">Cancelación de cita existente (DELETE /citas/{id})</t>
  </si>
  <si>
    <t xml:space="preserve">HTTP 200 OK o 204 No Content. Estado de cita actualizado a "Cancelada" en BD.</t>
  </si>
  <si>
    <t xml:space="preserve">Verificar que el horario del médico vuelva a estar disponible tras la cancelación.</t>
  </si>
  <si>
    <t xml:space="preserve">Pablo Díaz</t>
  </si>
  <si>
    <t xml:space="preserve">MTC_070</t>
  </si>
  <si>
    <t xml:space="preserve">Cancelación de cita con ID inexistente</t>
  </si>
  <si>
    <t xml:space="preserve">HTTP 404 Not Found. Mensaje de error JSON: "Cita no encontrada".</t>
  </si>
  <si>
    <t xml:space="preserve">Validar manejo de excepción global con @ControllerAdvice.</t>
  </si>
  <si>
    <t xml:space="preserve">MTC_080</t>
  </si>
  <si>
    <t xml:space="preserve">Conexión JDBC microservicio a MySQL Laragon (TC-01)</t>
  </si>
  <si>
    <t xml:space="preserve">No Funcional</t>
  </si>
  <si>
    <t xml:space="preserve">Estado "Connected" visible en logs de Spring Boot. Sin errores de datasource.</t>
  </si>
  <si>
    <t xml:space="preserve">Infraestructura</t>
  </si>
  <si>
    <t xml:space="preserve">NO</t>
  </si>
  <si>
    <t xml:space="preserve">Verificar configuración application.properties: host 127.0.0.1, puerto 3306, charset utf8mb4.</t>
  </si>
  <si>
    <t xml:space="preserve">MTC_090</t>
  </si>
  <si>
    <t xml:space="preserve">Persistencia de datos tras reinicio de Laragon (TC-04)</t>
  </si>
  <si>
    <t xml:space="preserve">Citas y pacientes agendados previamente siguen disponibles sin alteraciones.</t>
  </si>
  <si>
    <t xml:space="preserve">Apagar Laragon, reiniciar y consultar registros. Validar motor InnoDB con transacciones ACID.</t>
  </si>
  <si>
    <t xml:space="preserve">MTC_0100</t>
  </si>
  <si>
    <t xml:space="preserve">Prueba de carga: reservas concurrentes de citas</t>
  </si>
  <si>
    <t xml:space="preserve">Carga</t>
  </si>
  <si>
    <t xml:space="preserve">Tiempo de respuesta de consultas de disponibilidad no supera los 200ms bajo carga.</t>
  </si>
  <si>
    <t xml:space="preserve">Simular múltiples peticiones POST /citas simultáneas. Evaluar comportamiento BD.</t>
  </si>
  <si>
    <t xml:space="preserve">MTC_0110</t>
  </si>
  <si>
    <t xml:space="preserve">Validación de campos obligatorios en registro paciente</t>
  </si>
  <si>
    <t xml:space="preserve">HTTP 400 Bad Request al omitir campos NOT NULL (rut, nombre, email). Mensaje descriptivo.</t>
  </si>
  <si>
    <t xml:space="preserve">Probar con campos vacíos y nulos. Validar anotaciones @Valid y @NotNull en Controller.</t>
  </si>
  <si>
    <t xml:space="preserve">Casos</t>
  </si>
  <si>
    <t xml:space="preserve">OK</t>
  </si>
  <si>
    <t xml:space="preserve">NOK</t>
  </si>
  <si>
    <t xml:space="preserve">Bloqueado</t>
  </si>
  <si>
    <t xml:space="preserve">Obsoleto</t>
  </si>
  <si>
    <t xml:space="preserve">Total de casos</t>
  </si>
  <si>
    <t xml:space="preserve">% de  avance</t>
  </si>
  <si>
    <t xml:space="preserve">Total casos que ejecuto cada integrante del equipo</t>
  </si>
  <si>
    <t xml:space="preserve">Total Casos</t>
  </si>
  <si>
    <t xml:space="preserve">UAT</t>
  </si>
  <si>
    <t xml:space="preserve">Código</t>
  </si>
  <si>
    <t xml:space="preserve">End to End</t>
  </si>
  <si>
    <t xml:space="preserve">Stress</t>
  </si>
  <si>
    <t xml:space="preserve">Rendimiento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</si>
</sst>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General"/>
    <numFmt numFmtId="167" formatCode="d/m/yyyy"/>
    <numFmt numFmtId="168" formatCode="0%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Inconsolata"/>
      <family val="0"/>
      <charset val="1"/>
    </font>
    <font>
      <sz val="20"/>
      <color theme="1"/>
      <name val="Calibri"/>
      <family val="0"/>
      <charset val="1"/>
    </font>
    <font>
      <sz val="14"/>
      <color rgb="FF757575"/>
      <name val="Calibri"/>
      <family val="2"/>
    </font>
    <font>
      <sz val="9"/>
      <color rgb="FF000000"/>
      <name val="Calibri"/>
      <family val="2"/>
    </font>
    <font>
      <sz val="18"/>
      <color rgb="FF757575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E2EFDA"/>
        <bgColor rgb="FFD9D9D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76A5A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6B26B"/>
      <rgbColor rgb="FFCC99FF"/>
      <rgbColor rgb="FFFFD966"/>
      <rgbColor rgb="FF4472C4"/>
      <rgbColor rgb="FF33CCCC"/>
      <rgbColor rgb="FF93C47D"/>
      <rgbColor rgb="FFFFCC00"/>
      <rgbColor rgb="FFFF9900"/>
      <rgbColor rgb="FFED7D31"/>
      <rgbColor rgb="FF666699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lang="en-US" sz="1400" spc="-1" strike="noStrike">
                <a:solidFill>
                  <a:srgbClr val="757575"/>
                </a:solidFill>
                <a:latin typeface="Calibri"/>
                <a:ea typeface="Calibri"/>
              </a:rPr>
              <a:t>Avance del proceso de ejecución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1"/>
        <c:ser>
          <c:idx val="0"/>
          <c:order val="0"/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0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Control!$C$6:$C$10</c:f>
              <c:strCache>
                <c:ptCount val="5"/>
                <c:pt idx="0">
                  <c:v>OK</c:v>
                </c:pt>
                <c:pt idx="1">
                  <c:v>NOK</c:v>
                </c:pt>
                <c:pt idx="2">
                  <c:v>No ejecutado</c:v>
                </c:pt>
                <c:pt idx="3">
                  <c:v>Bloqueado</c:v>
                </c:pt>
                <c:pt idx="4">
                  <c:v>Obsoleto</c:v>
                </c:pt>
              </c:strCache>
            </c:strRef>
          </c:cat>
          <c:val>
            <c:numRef>
              <c:f>Control!$D$6:$D$10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21140440"/>
        <c:axId val="6802266"/>
      </c:barChart>
      <c:catAx>
        <c:axId val="21140440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802266"/>
        <c:crosses val="autoZero"/>
        <c:auto val="1"/>
        <c:lblAlgn val="ctr"/>
        <c:lblOffset val="100"/>
        <c:noMultiLvlLbl val="0"/>
      </c:catAx>
      <c:valAx>
        <c:axId val="680226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140440"/>
        <c:crosses val="max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lang="en-US" sz="1800" spc="-1" strike="noStrike">
                <a:solidFill>
                  <a:srgbClr val="757575"/>
                </a:solidFill>
                <a:latin typeface="Calibri"/>
                <a:ea typeface="Calibri"/>
              </a:rPr>
              <a:t>Total casos que ejecuto cada integrante del equipo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f6b26b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invertIfNegative val="0"/>
            <c:spPr>
              <a:solidFill>
                <a:srgbClr val="ffd9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invertIfNegative val="0"/>
            <c:spPr>
              <a:solidFill>
                <a:srgbClr val="93c47d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invertIfNegative val="0"/>
            <c:spPr>
              <a:solidFill>
                <a:srgbClr val="76a5af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Control!$E$36:$E$39</c:f>
              <c:strCache>
                <c:ptCount val="4"/>
                <c:pt idx="0">
                  <c:v>Dylan Sandoval</c:v>
                </c:pt>
                <c:pt idx="1">
                  <c:v>Josué Vera</c:v>
                </c:pt>
                <c:pt idx="2">
                  <c:v>Pablo Díaz</c:v>
                </c:pt>
                <c:pt idx="3">
                  <c:v>Sebastián Antipán</c:v>
                </c:pt>
              </c:strCache>
            </c:strRef>
          </c:cat>
          <c:val>
            <c:numRef>
              <c:f>Control!$F$36:$F$39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Control!$E$36:$E$39</c:f>
              <c:strCache>
                <c:ptCount val="4"/>
                <c:pt idx="0">
                  <c:v>Dylan Sandoval</c:v>
                </c:pt>
                <c:pt idx="1">
                  <c:v>Josué Vera</c:v>
                </c:pt>
                <c:pt idx="2">
                  <c:v>Pablo Díaz</c:v>
                </c:pt>
                <c:pt idx="3">
                  <c:v>Sebastián Antipán</c:v>
                </c:pt>
              </c:strCache>
            </c:strRef>
          </c:cat>
          <c:val>
            <c:numRef>
              <c:f>Control!$G$36:$G$39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</c:ser>
        <c:gapWidth val="150"/>
        <c:overlap val="0"/>
        <c:axId val="65986817"/>
        <c:axId val="52247480"/>
      </c:barChart>
      <c:catAx>
        <c:axId val="6598681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2247480"/>
        <c:crosses val="autoZero"/>
        <c:auto val="1"/>
        <c:lblAlgn val="ctr"/>
        <c:lblOffset val="100"/>
        <c:noMultiLvlLbl val="0"/>
      </c:catAx>
      <c:valAx>
        <c:axId val="5224748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59868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266760</xdr:colOff>
      <xdr:row>3</xdr:row>
      <xdr:rowOff>30600</xdr:rowOff>
    </xdr:from>
    <xdr:to>
      <xdr:col>10</xdr:col>
      <xdr:colOff>31680</xdr:colOff>
      <xdr:row>18</xdr:row>
      <xdr:rowOff>30240</xdr:rowOff>
    </xdr:to>
    <xdr:graphicFrame>
      <xdr:nvGraphicFramePr>
        <xdr:cNvPr id="0" name="Chart 1"/>
        <xdr:cNvGraphicFramePr/>
      </xdr:nvGraphicFramePr>
      <xdr:xfrm>
        <a:off x="3846240" y="573480"/>
        <a:ext cx="431460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762120</xdr:colOff>
      <xdr:row>19</xdr:row>
      <xdr:rowOff>171360</xdr:rowOff>
    </xdr:from>
    <xdr:to>
      <xdr:col>6</xdr:col>
      <xdr:colOff>68760</xdr:colOff>
      <xdr:row>34</xdr:row>
      <xdr:rowOff>28080</xdr:rowOff>
    </xdr:to>
    <xdr:graphicFrame>
      <xdr:nvGraphicFramePr>
        <xdr:cNvPr id="1" name="Chart 2"/>
        <xdr:cNvGraphicFramePr/>
      </xdr:nvGraphicFramePr>
      <xdr:xfrm>
        <a:off x="762120" y="3609720"/>
        <a:ext cx="4428720" cy="257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E35" activeCellId="0" sqref="E35"/>
    </sheetView>
  </sheetViews>
  <sheetFormatPr defaultColWidth="14.4453125" defaultRowHeight="15" zeroHeight="false" outlineLevelRow="0" outlineLevelCol="0"/>
  <cols>
    <col collapsed="false" customWidth="true" hidden="false" outlineLevel="0" max="3" min="1" style="1" width="3.34"/>
    <col collapsed="false" customWidth="true" hidden="false" outlineLevel="0" max="10" min="4" style="1" width="9.44"/>
    <col collapsed="false" customWidth="true" hidden="false" outlineLevel="0" max="12" min="11" style="1" width="3.34"/>
    <col collapsed="false" customWidth="true" hidden="false" outlineLevel="0" max="26" min="13" style="1" width="10.66"/>
  </cols>
  <sheetData>
    <row r="1" customFormat="false" ht="14.25" hidden="false" customHeight="true" outlineLevel="0" collapsed="false">
      <c r="A1" s="2" t="n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3"/>
      <c r="C2" s="4"/>
      <c r="D2" s="4"/>
      <c r="E2" s="4"/>
      <c r="F2" s="4"/>
      <c r="G2" s="4"/>
      <c r="H2" s="4"/>
      <c r="I2" s="4"/>
      <c r="J2" s="4"/>
      <c r="K2" s="4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2"/>
      <c r="B3" s="6"/>
      <c r="C3" s="3"/>
      <c r="D3" s="4"/>
      <c r="E3" s="4"/>
      <c r="F3" s="4"/>
      <c r="G3" s="4"/>
      <c r="H3" s="4"/>
      <c r="I3" s="4"/>
      <c r="J3" s="4"/>
      <c r="K3" s="5"/>
      <c r="L3" s="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2"/>
      <c r="B4" s="6"/>
      <c r="C4" s="6"/>
      <c r="D4" s="2"/>
      <c r="E4" s="2"/>
      <c r="F4" s="2"/>
      <c r="G4" s="2"/>
      <c r="H4" s="2"/>
      <c r="I4" s="2"/>
      <c r="J4" s="2"/>
      <c r="K4" s="7"/>
      <c r="L4" s="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2"/>
      <c r="B5" s="6"/>
      <c r="C5" s="6"/>
      <c r="D5" s="2"/>
      <c r="E5" s="2"/>
      <c r="F5" s="2"/>
      <c r="G5" s="2"/>
      <c r="H5" s="2"/>
      <c r="I5" s="2"/>
      <c r="J5" s="2"/>
      <c r="K5" s="7"/>
      <c r="L5" s="7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4.25" hidden="false" customHeight="true" outlineLevel="0" collapsed="false">
      <c r="A6" s="2"/>
      <c r="B6" s="6"/>
      <c r="C6" s="6"/>
      <c r="D6" s="2"/>
      <c r="E6" s="8" t="s">
        <v>0</v>
      </c>
      <c r="F6" s="8"/>
      <c r="G6" s="8"/>
      <c r="H6" s="8"/>
      <c r="I6" s="8"/>
      <c r="J6" s="2"/>
      <c r="K6" s="7"/>
      <c r="L6" s="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2"/>
      <c r="B7" s="6"/>
      <c r="C7" s="6"/>
      <c r="D7" s="2"/>
      <c r="E7" s="8"/>
      <c r="F7" s="8"/>
      <c r="G7" s="8"/>
      <c r="H7" s="8"/>
      <c r="I7" s="8"/>
      <c r="J7" s="2"/>
      <c r="K7" s="7"/>
      <c r="L7" s="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"/>
      <c r="B8" s="6"/>
      <c r="C8" s="6"/>
      <c r="D8" s="2"/>
      <c r="E8" s="8"/>
      <c r="F8" s="8"/>
      <c r="G8" s="8"/>
      <c r="H8" s="8"/>
      <c r="I8" s="8"/>
      <c r="J8" s="2"/>
      <c r="K8" s="7"/>
      <c r="L8" s="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2"/>
      <c r="B9" s="6"/>
      <c r="C9" s="6"/>
      <c r="D9" s="2"/>
      <c r="E9" s="8"/>
      <c r="F9" s="8"/>
      <c r="G9" s="8"/>
      <c r="H9" s="8"/>
      <c r="I9" s="8"/>
      <c r="J9" s="2"/>
      <c r="K9" s="7"/>
      <c r="L9" s="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2"/>
      <c r="B10" s="6"/>
      <c r="C10" s="6"/>
      <c r="D10" s="2"/>
      <c r="E10" s="8"/>
      <c r="F10" s="8"/>
      <c r="G10" s="8"/>
      <c r="H10" s="8"/>
      <c r="I10" s="8"/>
      <c r="J10" s="2"/>
      <c r="K10" s="7"/>
      <c r="L10" s="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2"/>
      <c r="B11" s="6"/>
      <c r="C11" s="6"/>
      <c r="D11" s="2"/>
      <c r="E11" s="2"/>
      <c r="F11" s="2"/>
      <c r="G11" s="2"/>
      <c r="H11" s="2"/>
      <c r="I11" s="2"/>
      <c r="J11" s="2"/>
      <c r="K11" s="7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2"/>
      <c r="B12" s="6"/>
      <c r="C12" s="6"/>
      <c r="D12" s="2"/>
      <c r="E12" s="2"/>
      <c r="F12" s="2"/>
      <c r="G12" s="2"/>
      <c r="H12" s="2"/>
      <c r="I12" s="2"/>
      <c r="J12" s="2"/>
      <c r="K12" s="7"/>
      <c r="L12" s="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2"/>
      <c r="B13" s="6"/>
      <c r="C13" s="6"/>
      <c r="D13" s="2"/>
      <c r="E13" s="2"/>
      <c r="F13" s="2"/>
      <c r="G13" s="2"/>
      <c r="H13" s="2"/>
      <c r="I13" s="2"/>
      <c r="J13" s="2"/>
      <c r="K13" s="7"/>
      <c r="L13" s="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2"/>
      <c r="B14" s="6"/>
      <c r="C14" s="6"/>
      <c r="D14" s="2"/>
      <c r="E14" s="2"/>
      <c r="F14" s="2"/>
      <c r="G14" s="2"/>
      <c r="H14" s="2"/>
      <c r="I14" s="2"/>
      <c r="J14" s="2"/>
      <c r="K14" s="7"/>
      <c r="L14" s="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2"/>
      <c r="B15" s="6"/>
      <c r="C15" s="6"/>
      <c r="D15" s="2"/>
      <c r="E15" s="2"/>
      <c r="F15" s="2"/>
      <c r="G15" s="2"/>
      <c r="H15" s="2"/>
      <c r="I15" s="2"/>
      <c r="J15" s="2"/>
      <c r="K15" s="7"/>
      <c r="L15" s="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2"/>
      <c r="B16" s="6"/>
      <c r="C16" s="6"/>
      <c r="D16" s="2"/>
      <c r="E16" s="2"/>
      <c r="F16" s="2"/>
      <c r="G16" s="2"/>
      <c r="H16" s="2"/>
      <c r="I16" s="2"/>
      <c r="J16" s="2"/>
      <c r="K16" s="7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2"/>
      <c r="B17" s="6"/>
      <c r="C17" s="6"/>
      <c r="D17" s="2"/>
      <c r="E17" s="2"/>
      <c r="F17" s="2"/>
      <c r="G17" s="2"/>
      <c r="H17" s="2"/>
      <c r="I17" s="2"/>
      <c r="J17" s="2"/>
      <c r="K17" s="7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2"/>
      <c r="B18" s="6"/>
      <c r="C18" s="6"/>
      <c r="D18" s="2"/>
      <c r="E18" s="2"/>
      <c r="F18" s="2"/>
      <c r="G18" s="2"/>
      <c r="H18" s="2"/>
      <c r="I18" s="2"/>
      <c r="J18" s="2"/>
      <c r="K18" s="7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2"/>
      <c r="B19" s="6"/>
      <c r="C19" s="6"/>
      <c r="D19" s="2"/>
      <c r="E19" s="2"/>
      <c r="F19" s="2"/>
      <c r="G19" s="2"/>
      <c r="H19" s="2"/>
      <c r="I19" s="2"/>
      <c r="J19" s="2"/>
      <c r="K19" s="7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>
      <c r="A20" s="2"/>
      <c r="B20" s="6"/>
      <c r="C20" s="6"/>
      <c r="D20" s="2"/>
      <c r="E20" s="2"/>
      <c r="F20" s="2"/>
      <c r="G20" s="2"/>
      <c r="H20" s="2"/>
      <c r="I20" s="2"/>
      <c r="J20" s="2"/>
      <c r="K20" s="7"/>
      <c r="L20" s="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.25" hidden="false" customHeight="true" outlineLevel="0" collapsed="false">
      <c r="A21" s="2"/>
      <c r="B21" s="6"/>
      <c r="C21" s="6"/>
      <c r="D21" s="2"/>
      <c r="E21" s="2"/>
      <c r="F21" s="2"/>
      <c r="G21" s="2"/>
      <c r="H21" s="2"/>
      <c r="I21" s="2"/>
      <c r="J21" s="2"/>
      <c r="K21" s="7"/>
      <c r="L21" s="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25" hidden="false" customHeight="true" outlineLevel="0" collapsed="false">
      <c r="A22" s="2"/>
      <c r="B22" s="6"/>
      <c r="C22" s="6"/>
      <c r="D22" s="2"/>
      <c r="E22" s="2"/>
      <c r="F22" s="2"/>
      <c r="G22" s="2"/>
      <c r="H22" s="2"/>
      <c r="I22" s="2"/>
      <c r="J22" s="2"/>
      <c r="K22" s="7"/>
      <c r="L22" s="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4.25" hidden="false" customHeight="true" outlineLevel="0" collapsed="false">
      <c r="A23" s="2"/>
      <c r="B23" s="6"/>
      <c r="C23" s="6"/>
      <c r="D23" s="2"/>
      <c r="E23" s="2"/>
      <c r="F23" s="2"/>
      <c r="G23" s="2"/>
      <c r="H23" s="2"/>
      <c r="I23" s="2"/>
      <c r="J23" s="2"/>
      <c r="K23" s="7"/>
      <c r="L23" s="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4.25" hidden="false" customHeight="true" outlineLevel="0" collapsed="false">
      <c r="A24" s="2"/>
      <c r="B24" s="6"/>
      <c r="C24" s="6"/>
      <c r="D24" s="2"/>
      <c r="E24" s="2"/>
      <c r="F24" s="2"/>
      <c r="G24" s="2"/>
      <c r="H24" s="2"/>
      <c r="I24" s="2"/>
      <c r="J24" s="2"/>
      <c r="K24" s="7"/>
      <c r="L24" s="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25" hidden="false" customHeight="true" outlineLevel="0" collapsed="false">
      <c r="A25" s="2"/>
      <c r="B25" s="6"/>
      <c r="C25" s="6"/>
      <c r="D25" s="2"/>
      <c r="E25" s="2"/>
      <c r="F25" s="2"/>
      <c r="G25" s="2"/>
      <c r="H25" s="2"/>
      <c r="I25" s="2"/>
      <c r="J25" s="2"/>
      <c r="K25" s="7"/>
      <c r="L25" s="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25" hidden="false" customHeight="true" outlineLevel="0" collapsed="false">
      <c r="A26" s="2"/>
      <c r="B26" s="6"/>
      <c r="C26" s="6"/>
      <c r="D26" s="2"/>
      <c r="E26" s="2"/>
      <c r="F26" s="2"/>
      <c r="G26" s="2"/>
      <c r="H26" s="2"/>
      <c r="I26" s="2"/>
      <c r="J26" s="2"/>
      <c r="K26" s="7"/>
      <c r="L26" s="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4.25" hidden="false" customHeight="true" outlineLevel="0" collapsed="false">
      <c r="A27" s="2"/>
      <c r="B27" s="6"/>
      <c r="C27" s="6"/>
      <c r="D27" s="2"/>
      <c r="E27" s="2"/>
      <c r="F27" s="2"/>
      <c r="G27" s="2"/>
      <c r="H27" s="2"/>
      <c r="I27" s="2"/>
      <c r="J27" s="2"/>
      <c r="K27" s="7"/>
      <c r="L27" s="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4.25" hidden="false" customHeight="true" outlineLevel="0" collapsed="false">
      <c r="A28" s="2"/>
      <c r="B28" s="6"/>
      <c r="C28" s="6"/>
      <c r="D28" s="2"/>
      <c r="E28" s="2"/>
      <c r="F28" s="2"/>
      <c r="G28" s="2"/>
      <c r="H28" s="2"/>
      <c r="I28" s="2"/>
      <c r="J28" s="2"/>
      <c r="K28" s="7"/>
      <c r="L28" s="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25" hidden="false" customHeight="true" outlineLevel="0" collapsed="false">
      <c r="A29" s="2"/>
      <c r="B29" s="6"/>
      <c r="C29" s="6"/>
      <c r="D29" s="2"/>
      <c r="E29" s="2"/>
      <c r="F29" s="2"/>
      <c r="G29" s="2"/>
      <c r="H29" s="2"/>
      <c r="I29" s="2"/>
      <c r="J29" s="2"/>
      <c r="K29" s="7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25" hidden="false" customHeight="true" outlineLevel="0" collapsed="false">
      <c r="A30" s="2"/>
      <c r="B30" s="6"/>
      <c r="C30" s="6"/>
      <c r="D30" s="2"/>
      <c r="E30" s="2"/>
      <c r="F30" s="2"/>
      <c r="G30" s="2"/>
      <c r="H30" s="2"/>
      <c r="I30" s="2"/>
      <c r="J30" s="2"/>
      <c r="K30" s="7"/>
      <c r="L30" s="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25" hidden="false" customHeight="true" outlineLevel="0" collapsed="false">
      <c r="A31" s="2"/>
      <c r="B31" s="6"/>
      <c r="C31" s="6"/>
      <c r="D31" s="2"/>
      <c r="E31" s="2"/>
      <c r="F31" s="2"/>
      <c r="G31" s="2"/>
      <c r="H31" s="2"/>
      <c r="I31" s="2"/>
      <c r="J31" s="2"/>
      <c r="K31" s="7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25" hidden="false" customHeight="true" outlineLevel="0" collapsed="false">
      <c r="A32" s="2"/>
      <c r="B32" s="6"/>
      <c r="C32" s="6"/>
      <c r="D32" s="2"/>
      <c r="E32" s="2"/>
      <c r="F32" s="2"/>
      <c r="G32" s="2"/>
      <c r="H32" s="2"/>
      <c r="I32" s="2"/>
      <c r="J32" s="2"/>
      <c r="K32" s="7"/>
      <c r="L32" s="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A33" s="2"/>
      <c r="B33" s="6"/>
      <c r="C33" s="6"/>
      <c r="D33" s="2"/>
      <c r="E33" s="2"/>
      <c r="F33" s="2"/>
      <c r="G33" s="2"/>
      <c r="H33" s="2"/>
      <c r="I33" s="2"/>
      <c r="J33" s="2"/>
      <c r="K33" s="7"/>
      <c r="L33" s="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A34" s="2"/>
      <c r="B34" s="6"/>
      <c r="C34" s="6"/>
      <c r="D34" s="2"/>
      <c r="E34" s="2"/>
      <c r="F34" s="2"/>
      <c r="G34" s="2"/>
      <c r="H34" s="2"/>
      <c r="I34" s="2"/>
      <c r="J34" s="2"/>
      <c r="K34" s="7"/>
      <c r="L34" s="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6.5" hidden="false" customHeight="true" outlineLevel="0" collapsed="false">
      <c r="A35" s="2"/>
      <c r="B35" s="6"/>
      <c r="C35" s="6"/>
      <c r="D35" s="2"/>
      <c r="E35" s="9" t="s">
        <v>1</v>
      </c>
      <c r="F35" s="9"/>
      <c r="G35" s="9"/>
      <c r="H35" s="9"/>
      <c r="I35" s="9"/>
      <c r="J35" s="2"/>
      <c r="K35" s="7"/>
      <c r="L35" s="7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6.5" hidden="false" customHeight="true" outlineLevel="0" collapsed="false">
      <c r="A36" s="2"/>
      <c r="B36" s="6"/>
      <c r="C36" s="6"/>
      <c r="D36" s="2"/>
      <c r="E36" s="9"/>
      <c r="F36" s="9"/>
      <c r="G36" s="9"/>
      <c r="H36" s="9"/>
      <c r="I36" s="9"/>
      <c r="J36" s="2"/>
      <c r="K36" s="7"/>
      <c r="L36" s="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6.5" hidden="false" customHeight="true" outlineLevel="0" collapsed="false">
      <c r="A37" s="2"/>
      <c r="B37" s="6"/>
      <c r="C37" s="6"/>
      <c r="D37" s="2"/>
      <c r="E37" s="9"/>
      <c r="F37" s="9"/>
      <c r="G37" s="9"/>
      <c r="H37" s="9"/>
      <c r="I37" s="9"/>
      <c r="J37" s="2"/>
      <c r="K37" s="7"/>
      <c r="L37" s="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6.5" hidden="false" customHeight="true" outlineLevel="0" collapsed="false">
      <c r="A38" s="2"/>
      <c r="B38" s="6"/>
      <c r="C38" s="6"/>
      <c r="D38" s="2"/>
      <c r="E38" s="9"/>
      <c r="F38" s="9"/>
      <c r="G38" s="9"/>
      <c r="H38" s="9"/>
      <c r="I38" s="9"/>
      <c r="J38" s="2"/>
      <c r="K38" s="7"/>
      <c r="L38" s="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6.5" hidden="false" customHeight="true" outlineLevel="0" collapsed="false">
      <c r="A39" s="2"/>
      <c r="B39" s="6"/>
      <c r="C39" s="6"/>
      <c r="D39" s="2"/>
      <c r="E39" s="9"/>
      <c r="F39" s="9"/>
      <c r="G39" s="9"/>
      <c r="H39" s="9"/>
      <c r="I39" s="9"/>
      <c r="J39" s="2"/>
      <c r="K39" s="7"/>
      <c r="L39" s="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6.5" hidden="false" customHeight="true" outlineLevel="0" collapsed="false">
      <c r="A40" s="2"/>
      <c r="B40" s="6"/>
      <c r="C40" s="6"/>
      <c r="D40" s="2"/>
      <c r="E40" s="2"/>
      <c r="F40" s="2"/>
      <c r="G40" s="2"/>
      <c r="H40" s="2"/>
      <c r="I40" s="2"/>
      <c r="J40" s="2"/>
      <c r="K40" s="7"/>
      <c r="L40" s="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A41" s="2"/>
      <c r="B41" s="6"/>
      <c r="C41" s="6"/>
      <c r="D41" s="2"/>
      <c r="E41" s="2"/>
      <c r="F41" s="2"/>
      <c r="G41" s="2"/>
      <c r="H41" s="2"/>
      <c r="I41" s="2"/>
      <c r="J41" s="2"/>
      <c r="K41" s="7"/>
      <c r="L41" s="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A42" s="2"/>
      <c r="B42" s="6"/>
      <c r="C42" s="6"/>
      <c r="D42" s="2"/>
      <c r="E42" s="2"/>
      <c r="F42" s="2"/>
      <c r="G42" s="2"/>
      <c r="H42" s="2"/>
      <c r="I42" s="2"/>
      <c r="J42" s="2"/>
      <c r="K42" s="7"/>
      <c r="L42" s="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2"/>
      <c r="B43" s="6"/>
      <c r="C43" s="10"/>
      <c r="D43" s="11"/>
      <c r="E43" s="11"/>
      <c r="F43" s="11"/>
      <c r="G43" s="11"/>
      <c r="H43" s="11"/>
      <c r="I43" s="11"/>
      <c r="J43" s="11"/>
      <c r="K43" s="12"/>
      <c r="L43" s="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2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4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4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4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4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E6:I10"/>
    <mergeCell ref="E35:I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4.4453125" defaultRowHeight="15" zeroHeight="false" outlineLevelRow="0" outlineLevelCol="0"/>
  <cols>
    <col collapsed="false" customWidth="false" hidden="false" outlineLevel="0" max="1" min="1" style="1" width="14.44"/>
    <col collapsed="false" customWidth="true" hidden="false" outlineLevel="0" max="2" min="2" style="1" width="24"/>
    <col collapsed="false" customWidth="false" hidden="false" outlineLevel="0" max="3" min="3" style="1" width="14.44"/>
    <col collapsed="false" customWidth="true" hidden="false" outlineLevel="0" max="5" min="4" style="1" width="18.22"/>
    <col collapsed="false" customWidth="true" hidden="false" outlineLevel="0" max="6" min="6" style="1" width="24.67"/>
    <col collapsed="false" customWidth="false" hidden="false" outlineLevel="0" max="7" min="7" style="1" width="14.44"/>
    <col collapsed="false" customWidth="true" hidden="false" outlineLevel="0" max="8" min="8" style="1" width="24.11"/>
    <col collapsed="false" customWidth="true" hidden="false" outlineLevel="0" max="9" min="9" style="1" width="23.22"/>
    <col collapsed="false" customWidth="true" hidden="false" outlineLevel="0" max="10" min="10" style="1" width="22.44"/>
    <col collapsed="false" customWidth="false" hidden="false" outlineLevel="0" max="16380" min="11" style="1" width="14.44"/>
  </cols>
  <sheetData>
    <row r="1" customFormat="false" ht="14.25" hidden="false" customHeight="true" outlineLevel="0" collapsed="false">
      <c r="A1" s="13" t="s">
        <v>2</v>
      </c>
      <c r="B1" s="13" t="s">
        <v>3</v>
      </c>
      <c r="C1" s="13" t="s">
        <v>4</v>
      </c>
      <c r="D1" s="13" t="s">
        <v>5</v>
      </c>
      <c r="E1" s="13" t="s">
        <v>6</v>
      </c>
      <c r="F1" s="14" t="s">
        <v>7</v>
      </c>
      <c r="G1" s="14" t="s">
        <v>8</v>
      </c>
      <c r="H1" s="15" t="s">
        <v>9</v>
      </c>
      <c r="I1" s="15" t="s">
        <v>10</v>
      </c>
      <c r="J1" s="16" t="s">
        <v>11</v>
      </c>
      <c r="K1" s="17" t="s">
        <v>12</v>
      </c>
    </row>
    <row r="2" customFormat="false" ht="14.25" hidden="false" customHeight="true" outlineLevel="0" collapsed="false">
      <c r="A2" s="18" t="s">
        <v>13</v>
      </c>
      <c r="B2" s="19" t="s">
        <v>14</v>
      </c>
      <c r="C2" s="20" t="s">
        <v>15</v>
      </c>
      <c r="D2" s="21" t="s">
        <v>16</v>
      </c>
      <c r="E2" s="21"/>
      <c r="F2" s="20" t="s">
        <v>17</v>
      </c>
      <c r="G2" s="20" t="s">
        <v>18</v>
      </c>
      <c r="H2" s="20" t="s">
        <v>19</v>
      </c>
      <c r="I2" s="22" t="s">
        <v>20</v>
      </c>
      <c r="J2" s="23" t="s">
        <v>21</v>
      </c>
      <c r="K2" s="24" t="s">
        <v>22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18" t="s">
        <v>23</v>
      </c>
      <c r="B3" s="19" t="s">
        <v>24</v>
      </c>
      <c r="C3" s="20" t="s">
        <v>15</v>
      </c>
      <c r="D3" s="21" t="s">
        <v>25</v>
      </c>
      <c r="E3" s="21"/>
      <c r="F3" s="20" t="s">
        <v>17</v>
      </c>
      <c r="G3" s="20" t="s">
        <v>18</v>
      </c>
      <c r="H3" s="20" t="s">
        <v>19</v>
      </c>
      <c r="I3" s="22" t="s">
        <v>26</v>
      </c>
      <c r="J3" s="23" t="s">
        <v>27</v>
      </c>
      <c r="K3" s="24" t="s">
        <v>28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18" t="s">
        <v>29</v>
      </c>
      <c r="B4" s="19" t="s">
        <v>30</v>
      </c>
      <c r="C4" s="20" t="s">
        <v>15</v>
      </c>
      <c r="D4" s="21" t="s">
        <v>31</v>
      </c>
      <c r="E4" s="21"/>
      <c r="F4" s="20" t="s">
        <v>32</v>
      </c>
      <c r="G4" s="20" t="s">
        <v>18</v>
      </c>
      <c r="H4" s="20" t="s">
        <v>19</v>
      </c>
      <c r="I4" s="22" t="s">
        <v>33</v>
      </c>
      <c r="J4" s="23" t="s">
        <v>27</v>
      </c>
      <c r="K4" s="24" t="s">
        <v>22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8" t="s">
        <v>34</v>
      </c>
      <c r="B5" s="19" t="s">
        <v>35</v>
      </c>
      <c r="C5" s="20" t="s">
        <v>15</v>
      </c>
      <c r="D5" s="21" t="s">
        <v>36</v>
      </c>
      <c r="E5" s="21"/>
      <c r="F5" s="20" t="s">
        <v>37</v>
      </c>
      <c r="G5" s="20" t="s">
        <v>18</v>
      </c>
      <c r="H5" s="20" t="s">
        <v>19</v>
      </c>
      <c r="I5" s="22" t="s">
        <v>38</v>
      </c>
      <c r="J5" s="23" t="s">
        <v>21</v>
      </c>
      <c r="K5" s="24" t="s">
        <v>39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4.25" hidden="false" customHeight="true" outlineLevel="0" collapsed="false">
      <c r="A6" s="18" t="s">
        <v>40</v>
      </c>
      <c r="B6" s="19" t="s">
        <v>41</v>
      </c>
      <c r="C6" s="20" t="s">
        <v>15</v>
      </c>
      <c r="D6" s="25" t="s">
        <v>42</v>
      </c>
      <c r="E6" s="25"/>
      <c r="F6" s="20" t="s">
        <v>37</v>
      </c>
      <c r="G6" s="20" t="s">
        <v>18</v>
      </c>
      <c r="H6" s="20" t="s">
        <v>19</v>
      </c>
      <c r="I6" s="22" t="s">
        <v>43</v>
      </c>
      <c r="J6" s="23" t="s">
        <v>44</v>
      </c>
      <c r="K6" s="24" t="s">
        <v>28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18" t="s">
        <v>45</v>
      </c>
      <c r="B7" s="19" t="s">
        <v>46</v>
      </c>
      <c r="C7" s="20" t="s">
        <v>15</v>
      </c>
      <c r="D7" s="25" t="s">
        <v>47</v>
      </c>
      <c r="E7" s="25"/>
      <c r="F7" s="20" t="s">
        <v>37</v>
      </c>
      <c r="G7" s="20" t="s">
        <v>18</v>
      </c>
      <c r="H7" s="20" t="s">
        <v>19</v>
      </c>
      <c r="I7" s="22" t="s">
        <v>48</v>
      </c>
      <c r="J7" s="23" t="s">
        <v>49</v>
      </c>
      <c r="K7" s="24" t="s">
        <v>28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18" t="s">
        <v>50</v>
      </c>
      <c r="B8" s="19" t="s">
        <v>51</v>
      </c>
      <c r="C8" s="20" t="s">
        <v>15</v>
      </c>
      <c r="D8" s="21" t="s">
        <v>52</v>
      </c>
      <c r="E8" s="21"/>
      <c r="F8" s="20" t="s">
        <v>37</v>
      </c>
      <c r="G8" s="20" t="s">
        <v>18</v>
      </c>
      <c r="H8" s="20" t="s">
        <v>19</v>
      </c>
      <c r="I8" s="22" t="s">
        <v>53</v>
      </c>
      <c r="J8" s="23" t="s">
        <v>21</v>
      </c>
      <c r="K8" s="24" t="s">
        <v>22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18" t="s">
        <v>54</v>
      </c>
      <c r="B9" s="19" t="s">
        <v>55</v>
      </c>
      <c r="C9" s="20" t="s">
        <v>56</v>
      </c>
      <c r="D9" s="21" t="s">
        <v>57</v>
      </c>
      <c r="E9" s="21"/>
      <c r="F9" s="20" t="s">
        <v>58</v>
      </c>
      <c r="G9" s="20" t="s">
        <v>18</v>
      </c>
      <c r="H9" s="20" t="s">
        <v>59</v>
      </c>
      <c r="I9" s="22" t="s">
        <v>60</v>
      </c>
      <c r="J9" s="23" t="s">
        <v>27</v>
      </c>
      <c r="K9" s="24" t="s">
        <v>39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18" t="s">
        <v>61</v>
      </c>
      <c r="B10" s="19" t="s">
        <v>62</v>
      </c>
      <c r="C10" s="20" t="s">
        <v>56</v>
      </c>
      <c r="D10" s="21" t="s">
        <v>63</v>
      </c>
      <c r="E10" s="21"/>
      <c r="F10" s="20" t="s">
        <v>58</v>
      </c>
      <c r="G10" s="20" t="s">
        <v>18</v>
      </c>
      <c r="H10" s="20" t="s">
        <v>59</v>
      </c>
      <c r="I10" s="22" t="s">
        <v>64</v>
      </c>
      <c r="J10" s="23" t="s">
        <v>21</v>
      </c>
      <c r="K10" s="24" t="s">
        <v>39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2.75" hidden="false" customHeight="true" outlineLevel="0" collapsed="false">
      <c r="A11" s="18" t="s">
        <v>65</v>
      </c>
      <c r="B11" s="19" t="s">
        <v>66</v>
      </c>
      <c r="C11" s="20" t="s">
        <v>67</v>
      </c>
      <c r="D11" s="21" t="s">
        <v>68</v>
      </c>
      <c r="E11" s="21"/>
      <c r="F11" s="20" t="s">
        <v>37</v>
      </c>
      <c r="G11" s="20" t="s">
        <v>18</v>
      </c>
      <c r="H11" s="20" t="s">
        <v>59</v>
      </c>
      <c r="I11" s="26" t="s">
        <v>69</v>
      </c>
      <c r="J11" s="23" t="s">
        <v>44</v>
      </c>
      <c r="K11" s="24" t="s">
        <v>39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3.5" hidden="false" customHeight="true" outlineLevel="0" collapsed="false">
      <c r="A12" s="18" t="s">
        <v>70</v>
      </c>
      <c r="B12" s="19" t="s">
        <v>71</v>
      </c>
      <c r="C12" s="20" t="s">
        <v>15</v>
      </c>
      <c r="D12" s="21" t="s">
        <v>72</v>
      </c>
      <c r="E12" s="21"/>
      <c r="F12" s="20" t="s">
        <v>17</v>
      </c>
      <c r="G12" s="20" t="s">
        <v>18</v>
      </c>
      <c r="H12" s="20" t="s">
        <v>19</v>
      </c>
      <c r="I12" s="26" t="s">
        <v>73</v>
      </c>
      <c r="J12" s="23" t="s">
        <v>49</v>
      </c>
      <c r="K12" s="24" t="s">
        <v>22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8" activeCellId="0" sqref="K28"/>
    </sheetView>
  </sheetViews>
  <sheetFormatPr defaultColWidth="14.4453125" defaultRowHeight="15" zeroHeight="false" outlineLevelRow="0" outlineLevelCol="0"/>
  <cols>
    <col collapsed="false" customWidth="true" hidden="false" outlineLevel="0" max="2" min="1" style="1" width="11.56"/>
    <col collapsed="false" customWidth="true" hidden="false" outlineLevel="0" max="3" min="3" style="1" width="16.11"/>
    <col collapsed="false" customWidth="true" hidden="false" outlineLevel="0" max="4" min="4" style="1" width="11.56"/>
    <col collapsed="false" customWidth="true" hidden="false" outlineLevel="0" max="5" min="5" style="1" width="4.88"/>
    <col collapsed="false" customWidth="true" hidden="false" outlineLevel="0" max="6" min="6" style="1" width="17"/>
    <col collapsed="false" customWidth="true" hidden="false" outlineLevel="0" max="11" min="7" style="1" width="10.66"/>
    <col collapsed="false" customWidth="true" hidden="false" outlineLevel="0" max="12" min="12" style="1" width="5.44"/>
    <col collapsed="false" customWidth="true" hidden="false" outlineLevel="0" max="26" min="13" style="1" width="10.66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W1" s="2"/>
    </row>
    <row r="2" customFormat="false" ht="14.25" hidden="false" customHeight="true" outlineLevel="0" collapsed="false">
      <c r="A2" s="2"/>
      <c r="B2" s="27"/>
      <c r="C2" s="27"/>
      <c r="D2" s="2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Z2" s="2"/>
    </row>
    <row r="3" customFormat="false" ht="14.25" hidden="false" customHeight="true" outlineLevel="0" collapsed="false">
      <c r="A3" s="2"/>
      <c r="B3" s="27"/>
      <c r="C3" s="27"/>
      <c r="D3" s="27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Z3" s="2"/>
    </row>
    <row r="4" customFormat="false" ht="14.25" hidden="false" customHeight="true" outlineLevel="0" collapsed="false">
      <c r="A4" s="2"/>
      <c r="B4" s="27"/>
      <c r="C4" s="27"/>
      <c r="D4" s="2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Z4" s="2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8"/>
      <c r="Q5" s="2"/>
      <c r="R5" s="2"/>
      <c r="Z5" s="2"/>
    </row>
    <row r="6" customFormat="false" ht="14.25" hidden="false" customHeight="true" outlineLevel="0" collapsed="false">
      <c r="A6" s="2"/>
      <c r="B6" s="29" t="s">
        <v>74</v>
      </c>
      <c r="C6" s="30" t="s">
        <v>75</v>
      </c>
      <c r="D6" s="31" t="n">
        <f aca="false">COUNTIF('Identificación Casos'!G2:G12,Control!C6)</f>
        <v>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8"/>
      <c r="Q6" s="2"/>
      <c r="R6" s="2"/>
      <c r="Z6" s="2"/>
    </row>
    <row r="7" customFormat="false" ht="14.25" hidden="false" customHeight="true" outlineLevel="0" collapsed="false">
      <c r="A7" s="2"/>
      <c r="B7" s="29"/>
      <c r="C7" s="30" t="s">
        <v>76</v>
      </c>
      <c r="D7" s="31" t="n">
        <f aca="false">COUNTIF('Identificación Casos'!G2:G12,Control!C7)</f>
        <v>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Z7" s="2"/>
    </row>
    <row r="8" customFormat="false" ht="14.25" hidden="false" customHeight="true" outlineLevel="0" collapsed="false">
      <c r="A8" s="2"/>
      <c r="B8" s="29"/>
      <c r="C8" s="30" t="s">
        <v>18</v>
      </c>
      <c r="D8" s="31" t="n">
        <f aca="false">COUNTIF('Identificación Casos'!$G$2:G36,C8)</f>
        <v>11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Z8" s="2"/>
    </row>
    <row r="9" customFormat="false" ht="14.25" hidden="false" customHeight="true" outlineLevel="0" collapsed="false">
      <c r="A9" s="2"/>
      <c r="B9" s="29"/>
      <c r="C9" s="30" t="s">
        <v>77</v>
      </c>
      <c r="D9" s="31" t="n">
        <f aca="false">COUNTIF('Identificación Casos'!$G$2:G37,C9)</f>
        <v>0</v>
      </c>
      <c r="E9" s="2"/>
      <c r="F9" s="2"/>
      <c r="G9" s="2"/>
      <c r="H9" s="2"/>
      <c r="I9" s="2"/>
      <c r="J9" s="2"/>
      <c r="K9" s="2"/>
      <c r="L9" s="2"/>
      <c r="M9" s="2"/>
      <c r="N9" s="2"/>
      <c r="O9" s="28"/>
      <c r="P9" s="2"/>
      <c r="Q9" s="2"/>
      <c r="R9" s="2"/>
      <c r="Z9" s="2"/>
    </row>
    <row r="10" customFormat="false" ht="14.25" hidden="false" customHeight="true" outlineLevel="0" collapsed="false">
      <c r="A10" s="2"/>
      <c r="B10" s="29"/>
      <c r="C10" s="30" t="s">
        <v>78</v>
      </c>
      <c r="D10" s="31" t="n">
        <f aca="false">COUNTIF('Identificación Casos'!$G$2:G38,C10)</f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Z10" s="2"/>
    </row>
    <row r="11" customFormat="false" ht="14.25" hidden="false" customHeight="true" outlineLevel="0" collapsed="false">
      <c r="A11" s="2"/>
      <c r="B11" s="32"/>
      <c r="C11" s="32"/>
      <c r="D11" s="3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Z11" s="2"/>
    </row>
    <row r="12" customFormat="false" ht="14.25" hidden="false" customHeight="true" outlineLevel="0" collapsed="false">
      <c r="A12" s="2"/>
      <c r="B12" s="32"/>
      <c r="C12" s="32"/>
      <c r="D12" s="3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Z12" s="2"/>
    </row>
    <row r="13" customFormat="false" ht="14.25" hidden="false" customHeight="true" outlineLevel="0" collapsed="false">
      <c r="A13" s="2"/>
      <c r="B13" s="30" t="s">
        <v>79</v>
      </c>
      <c r="C13" s="30"/>
      <c r="D13" s="31" t="n">
        <f aca="false">COUNTIF('Identificación Casos'!A2:A34,"*")</f>
        <v>11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Z13" s="2"/>
    </row>
    <row r="14" customFormat="false" ht="14.25" hidden="false" customHeight="true" outlineLevel="0" collapsed="false">
      <c r="A14" s="2"/>
      <c r="B14" s="32"/>
      <c r="C14" s="32"/>
      <c r="D14" s="3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Z14" s="2"/>
    </row>
    <row r="15" customFormat="false" ht="14.25" hidden="false" customHeight="true" outlineLevel="0" collapsed="false">
      <c r="A15" s="2"/>
      <c r="B15" s="32"/>
      <c r="C15" s="32"/>
      <c r="D15" s="3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Z15" s="2"/>
    </row>
    <row r="16" customFormat="false" ht="14.25" hidden="false" customHeight="true" outlineLevel="0" collapsed="false">
      <c r="A16" s="2"/>
      <c r="B16" s="34" t="s">
        <v>80</v>
      </c>
      <c r="C16" s="34"/>
      <c r="D16" s="35" t="n">
        <f aca="false">SUM(D6+D7+D9+D10)/D13</f>
        <v>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Z16" s="2"/>
    </row>
    <row r="17" customFormat="false" ht="14.25" hidden="false" customHeight="true" outlineLevel="0" collapsed="false">
      <c r="A17" s="2"/>
      <c r="B17" s="34"/>
      <c r="C17" s="34"/>
      <c r="D17" s="3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Z17" s="2"/>
    </row>
    <row r="18" customFormat="false" ht="14.2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Z18" s="2"/>
    </row>
    <row r="19" customFormat="false" ht="14.2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Z19" s="2"/>
    </row>
    <row r="20" customFormat="false" ht="14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3"/>
      <c r="N20" s="33"/>
      <c r="O20" s="2"/>
      <c r="P20" s="2"/>
      <c r="Q20" s="2"/>
      <c r="R20" s="2"/>
      <c r="Z20" s="2"/>
    </row>
    <row r="21" customFormat="false" ht="14.25" hidden="false" customHeight="true" outlineLevel="0" collapsed="false">
      <c r="A21" s="2"/>
      <c r="B21" s="28"/>
      <c r="C21" s="2"/>
      <c r="D21" s="2"/>
      <c r="E21" s="2"/>
      <c r="F21" s="2"/>
      <c r="G21" s="2"/>
      <c r="H21" s="2"/>
      <c r="I21" s="2"/>
      <c r="J21" s="2"/>
      <c r="K21" s="2"/>
      <c r="L21" s="2"/>
      <c r="M21" s="33"/>
      <c r="N21" s="33"/>
      <c r="O21" s="2"/>
      <c r="P21" s="2"/>
      <c r="Q21" s="2"/>
      <c r="R21" s="2"/>
      <c r="Z21" s="2"/>
    </row>
    <row r="22" customFormat="false" ht="14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R22" s="2"/>
    </row>
    <row r="23" customFormat="false" ht="14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R23" s="2"/>
    </row>
    <row r="24" customFormat="false" ht="14.25" hidden="false" customHeight="true" outlineLevel="0" collapsed="false">
      <c r="A24" s="2"/>
      <c r="D24" s="2"/>
      <c r="E24" s="2"/>
      <c r="F24" s="2"/>
      <c r="G24" s="2"/>
      <c r="H24" s="2"/>
      <c r="I24" s="2"/>
      <c r="J24" s="2"/>
      <c r="R24" s="2"/>
    </row>
    <row r="25" customFormat="false" ht="14.25" hidden="false" customHeight="true" outlineLevel="0" collapsed="false">
      <c r="A25" s="2"/>
      <c r="D25" s="2"/>
      <c r="E25" s="2"/>
      <c r="F25" s="2"/>
      <c r="G25" s="2"/>
      <c r="H25" s="2"/>
      <c r="I25" s="2"/>
      <c r="J25" s="2"/>
      <c r="R25" s="2"/>
    </row>
    <row r="26" customFormat="false" ht="14.25" hidden="false" customHeight="true" outlineLevel="0" collapsed="false">
      <c r="A26" s="2"/>
      <c r="D26" s="2"/>
      <c r="E26" s="2"/>
      <c r="F26" s="2"/>
      <c r="G26" s="2"/>
      <c r="H26" s="2"/>
      <c r="I26" s="2"/>
      <c r="J26" s="2"/>
      <c r="R26" s="2"/>
    </row>
    <row r="27" customFormat="false" ht="14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25" hidden="false" customHeight="true" outlineLevel="0" collapsed="false">
      <c r="A36" s="2"/>
      <c r="B36" s="36" t="s">
        <v>81</v>
      </c>
      <c r="C36" s="36"/>
      <c r="D36" s="36"/>
      <c r="E36" s="24" t="s">
        <v>44</v>
      </c>
      <c r="F36" s="24"/>
      <c r="G36" s="37" t="n">
        <f aca="false">COUNTIF('Identificación Casos'!J2:J1002,E36)</f>
        <v>2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25" hidden="false" customHeight="true" outlineLevel="0" collapsed="false">
      <c r="A37" s="2"/>
      <c r="B37" s="36"/>
      <c r="C37" s="36"/>
      <c r="D37" s="36"/>
      <c r="E37" s="24" t="s">
        <v>27</v>
      </c>
      <c r="F37" s="24"/>
      <c r="G37" s="37" t="n">
        <f aca="false">COUNTIF('Identificación Casos'!J3:J1003,E37)</f>
        <v>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25" hidden="false" customHeight="true" outlineLevel="0" collapsed="false">
      <c r="A38" s="2"/>
      <c r="B38" s="36"/>
      <c r="C38" s="36"/>
      <c r="D38" s="36"/>
      <c r="E38" s="24" t="s">
        <v>49</v>
      </c>
      <c r="F38" s="24"/>
      <c r="G38" s="37" t="n">
        <f aca="false">COUNTIF('Identificación Casos'!J4:J1004,E38)</f>
        <v>2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25" hidden="false" customHeight="true" outlineLevel="0" collapsed="false">
      <c r="A39" s="2"/>
      <c r="B39" s="36"/>
      <c r="C39" s="36"/>
      <c r="D39" s="36"/>
      <c r="E39" s="24" t="s">
        <v>21</v>
      </c>
      <c r="F39" s="24"/>
      <c r="G39" s="38" t="n">
        <f aca="false">COUNTIF('Identificación Casos'!J5:J1005,E39)</f>
        <v>3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2"/>
      <c r="B40" s="2"/>
      <c r="C40" s="2"/>
      <c r="D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A41" s="2"/>
      <c r="B41" s="2"/>
      <c r="C41" s="2"/>
      <c r="D41" s="2"/>
      <c r="F41" s="1" t="s">
        <v>82</v>
      </c>
      <c r="G41" s="1" t="n">
        <f aca="false">SUM(G36:G39)</f>
        <v>10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4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4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4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4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14.2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Format="false" ht="14.25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customFormat="false" ht="14.25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10">
    <mergeCell ref="B6:B10"/>
    <mergeCell ref="B13:C13"/>
    <mergeCell ref="B16:C17"/>
    <mergeCell ref="D16:D17"/>
    <mergeCell ref="M20:N21"/>
    <mergeCell ref="B36:D39"/>
    <mergeCell ref="E36:F36"/>
    <mergeCell ref="E37:F37"/>
    <mergeCell ref="E38:F38"/>
    <mergeCell ref="E39:F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12.22"/>
    <col collapsed="false" customWidth="true" hidden="false" outlineLevel="0" max="2" min="2" style="1" width="12.44"/>
    <col collapsed="false" customWidth="true" hidden="false" outlineLevel="0" max="3" min="3" style="1" width="6.33"/>
    <col collapsed="false" customWidth="true" hidden="false" outlineLevel="0" max="26" min="4" style="1" width="10.66"/>
  </cols>
  <sheetData>
    <row r="1" customFormat="false" ht="14.25" hidden="false" customHeight="true" outlineLevel="0" collapsed="false">
      <c r="A1" s="1" t="s">
        <v>15</v>
      </c>
      <c r="B1" s="1" t="s">
        <v>75</v>
      </c>
      <c r="C1" s="1" t="s">
        <v>22</v>
      </c>
      <c r="D1" s="1" t="s">
        <v>19</v>
      </c>
    </row>
    <row r="2" customFormat="false" ht="14.25" hidden="false" customHeight="true" outlineLevel="0" collapsed="false">
      <c r="A2" s="1" t="s">
        <v>56</v>
      </c>
      <c r="B2" s="1" t="s">
        <v>76</v>
      </c>
      <c r="C2" s="1" t="s">
        <v>28</v>
      </c>
      <c r="D2" s="1" t="s">
        <v>59</v>
      </c>
    </row>
    <row r="3" customFormat="false" ht="14.25" hidden="false" customHeight="true" outlineLevel="0" collapsed="false">
      <c r="A3" s="1" t="s">
        <v>83</v>
      </c>
      <c r="B3" s="1" t="s">
        <v>18</v>
      </c>
      <c r="C3" s="1" t="s">
        <v>39</v>
      </c>
    </row>
    <row r="4" customFormat="false" ht="14.25" hidden="false" customHeight="true" outlineLevel="0" collapsed="false">
      <c r="A4" s="1" t="s">
        <v>84</v>
      </c>
      <c r="B4" s="1" t="s">
        <v>77</v>
      </c>
    </row>
    <row r="5" customFormat="false" ht="14.25" hidden="false" customHeight="true" outlineLevel="0" collapsed="false">
      <c r="A5" s="1" t="s">
        <v>85</v>
      </c>
      <c r="B5" s="1" t="s">
        <v>78</v>
      </c>
    </row>
    <row r="6" customFormat="false" ht="14.25" hidden="false" customHeight="true" outlineLevel="0" collapsed="false">
      <c r="A6" s="1" t="s">
        <v>86</v>
      </c>
    </row>
    <row r="7" customFormat="false" ht="14.25" hidden="false" customHeight="true" outlineLevel="0" collapsed="false">
      <c r="A7" s="1" t="s">
        <v>87</v>
      </c>
    </row>
    <row r="8" customFormat="false" ht="14.25" hidden="false" customHeight="true" outlineLevel="0" collapsed="false">
      <c r="A8" s="1" t="s">
        <v>67</v>
      </c>
    </row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2022-11-12T13:19:55Z</dcterms:created>
  <dc:creator>Guzman Bozo, Jorge</dc:creator>
  <dc:description/>
  <dc:language>en-US</dc:language>
  <cp:lastModifiedBy/>
  <dcterms:modified xsi:type="dcterms:W3CDTF">2026-06-14T19:51:18Z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